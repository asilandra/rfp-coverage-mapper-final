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Slide map" sheetId="4" state="visible" r:id="rId4"/>
    <sheet xmlns:r="http://schemas.openxmlformats.org/officeDocument/2006/relationships" name="Matrix" sheetId="5" state="visible" r:id="rId5"/>
  </sheets>
  <definedNames>
    <definedName name="_xlnm._FilterDatabase" localSheetId="1" hidden="1">'Coverage'!$A$1:$L$21</definedName>
    <definedName name="_xlnm._FilterDatabase" localSheetId="2" hidden="1">'Gaps'!$A$1:$H$12</definedName>
    <definedName name="_xlnm._FilterDatabase" localSheetId="3" hidden="1">'Slide map'!$A$1:$E$17</definedName>
    <definedName name="_xlnm._FilterDatabase" localSheetId="4" hidden="1">'Matrix'!$A$1:$S$21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9" fontId="7" fillId="0" borderId="0" applyAlignment="1" pivotButton="0" quotePrefix="0" xfId="0">
      <alignment horizontal="left"/>
    </xf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Coverage Mapper</author>
  </authors>
  <commentList>
    <comment ref="D1" authorId="0" shapeId="0">
      <text>
        <t>Slide 1: Patient Experience and Clinical Operations Transformation: proposal to Falaj Health Partners</t>
      </text>
    </comment>
    <comment ref="E1" authorId="0" shapeId="0">
      <text>
        <t>Slide 2: About Tessera Advisory</t>
      </text>
    </comment>
    <comment ref="F1" authorId="0" shapeId="0">
      <text>
        <t>Slide 3: Our understanding</t>
      </text>
    </comment>
    <comment ref="G1" authorId="0" shapeId="0">
      <text>
        <t>Slide 4: Our approach</t>
      </text>
    </comment>
    <comment ref="H1" authorId="0" shapeId="0">
      <text>
        <t>Slide 5: Phase 1: Listen</t>
      </text>
    </comment>
    <comment ref="I1" authorId="0" shapeId="0">
      <text>
        <t>Slide 6: Phase 2: Measure</t>
      </text>
    </comment>
    <comment ref="J1" authorId="0" shapeId="0">
      <text>
        <t>Slide 7: Phase 3: Design the digital experience</t>
      </text>
    </comment>
    <comment ref="K1" authorId="0" shapeId="0">
      <text>
        <t>Slide 8: Phase 3: Design the workforce model</t>
      </text>
    </comment>
    <comment ref="L1" authorId="0" shapeId="0">
      <text>
        <t>Slide 9: Programme leadership</t>
      </text>
    </comment>
    <comment ref="M1" authorId="0" shapeId="0">
      <text>
        <t>Slide 10: Building capability</t>
      </text>
    </comment>
    <comment ref="N1" authorId="0" shapeId="0">
      <text>
        <t>Slide 11: What you will receive</t>
      </text>
    </comment>
    <comment ref="O1" authorId="0" shapeId="0">
      <text>
        <t>Slide 12: Workplan</t>
      </text>
    </comment>
    <comment ref="P1" authorId="0" shapeId="0">
      <text>
        <t>Slide 13: Your team</t>
      </text>
    </comment>
    <comment ref="Q1" authorId="0" shapeId="0">
      <text>
        <t>Slide 14: Commercial proposal</t>
      </text>
    </comment>
    <comment ref="R1" authorId="0" shapeId="0">
      <text>
        <t>Slide 15: Relevant experience</t>
      </text>
    </comment>
    <comment ref="S1" authorId="0" shapeId="0">
      <text>
        <t>Slide 16: Why Tessera and next steps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RFP vs Proposal Coverage Report</t>
        </is>
      </c>
    </row>
    <row r="3">
      <c r="A3" s="2" t="inlineStr">
        <is>
          <t>RFP</t>
        </is>
      </c>
      <c r="B3" s="3" t="inlineStr">
        <is>
          <t>rfp_test2.pdf</t>
        </is>
      </c>
    </row>
    <row r="4">
      <c r="A4" s="2" t="inlineStr">
        <is>
          <t>Proposal deck</t>
        </is>
      </c>
      <c r="B4" s="3" t="inlineStr">
        <is>
          <t>proposal_test2.pptx (16 slides)</t>
        </is>
      </c>
    </row>
    <row r="5">
      <c r="A5" s="2" t="inlineStr">
        <is>
          <t>Report date</t>
        </is>
      </c>
      <c r="B5" s="3" t="inlineStr">
        <is>
          <t>2026-10-06</t>
        </is>
      </c>
    </row>
    <row r="6">
      <c r="A6" s="2" t="inlineStr">
        <is>
          <t>Judge model (all requirements)</t>
        </is>
      </c>
      <c r="B6" s="3" t="inlineStr">
        <is>
          <t>gemini-3.5-flash-lite</t>
        </is>
      </c>
    </row>
    <row r="7">
      <c r="A7" s="2" t="inlineStr">
        <is>
          <t>Slide ranking</t>
        </is>
      </c>
      <c r="B7" s="3" t="inlineStr">
        <is>
          <t>embeddings (all-mpnet-base-v2)</t>
        </is>
      </c>
    </row>
    <row r="9">
      <c r="A9" s="4" t="inlineStr">
        <is>
          <t>Totals (live formulas from the Coverage sheet)</t>
        </is>
      </c>
    </row>
    <row r="10">
      <c r="A10" s="3" t="inlineStr">
        <is>
          <t>Requirements found in the RFP</t>
        </is>
      </c>
      <c r="B10" s="5">
        <f>COUNTA(Coverage!A2:A21)</f>
        <v/>
      </c>
    </row>
    <row r="11">
      <c r="A11" s="6" t="inlineStr">
        <is>
          <t>Covered</t>
        </is>
      </c>
      <c r="B11" s="5">
        <f>COUNTIF(Coverage!D2:D21,"Covered")</f>
        <v/>
      </c>
    </row>
    <row r="12">
      <c r="A12" s="7" t="inlineStr">
        <is>
          <t>Partially covered</t>
        </is>
      </c>
      <c r="B12" s="5">
        <f>COUNTIF(Coverage!D2:D21,"Partially covered")</f>
        <v/>
      </c>
    </row>
    <row r="13">
      <c r="A13" s="8" t="inlineStr">
        <is>
          <t>Not covered</t>
        </is>
      </c>
      <c r="B13" s="5">
        <f>COUNTIF(Coverage!D2:D21,"Not covered")</f>
        <v/>
      </c>
    </row>
    <row r="14">
      <c r="A14" s="3" t="inlineStr">
        <is>
          <t>Gaps to fix (partial + not covered)</t>
        </is>
      </c>
      <c r="B14" s="5">
        <f>B12+B13</f>
        <v/>
      </c>
    </row>
    <row r="15">
      <c r="A15" s="3" t="inlineStr">
        <is>
          <t>Fully covered (%)</t>
        </is>
      </c>
      <c r="B15" s="9">
        <f>IFERROR(B11/B10,0)</f>
        <v/>
      </c>
    </row>
    <row r="16">
      <c r="A16" s="3" t="inlineStr">
        <is>
          <t>Verdicts flagged for human review</t>
        </is>
      </c>
      <c r="B16" s="5">
        <f>COUNTIF(Coverage!J2:J21,"Yes")</f>
        <v/>
      </c>
    </row>
    <row r="18">
      <c r="A18" s="4" t="inlineStr">
        <is>
          <t>By category</t>
        </is>
      </c>
    </row>
    <row r="19">
      <c r="A19" s="10" t="inlineStr">
        <is>
          <t>Category</t>
        </is>
      </c>
      <c r="B19" s="10" t="inlineStr">
        <is>
          <t>Covered</t>
        </is>
      </c>
      <c r="C19" s="10" t="inlineStr">
        <is>
          <t>Partially covered</t>
        </is>
      </c>
      <c r="D19" s="10" t="inlineStr">
        <is>
          <t>Not covered</t>
        </is>
      </c>
    </row>
    <row r="20">
      <c r="A20" s="3" t="inlineStr">
        <is>
          <t>Scope</t>
        </is>
      </c>
      <c r="B20" s="11">
        <f>COUNTIFS(Coverage!B2:B21,A20,Coverage!D2:D21,"Covered")</f>
        <v/>
      </c>
      <c r="C20" s="11">
        <f>COUNTIFS(Coverage!B2:B21,A20,Coverage!D2:D21,"Partially covered")</f>
        <v/>
      </c>
      <c r="D20" s="11">
        <f>COUNTIFS(Coverage!B2:B21,A20,Coverage!D2:D21,"Not covered")</f>
        <v/>
      </c>
    </row>
    <row r="21">
      <c r="A21" s="3" t="inlineStr">
        <is>
          <t>Deliverable</t>
        </is>
      </c>
      <c r="B21" s="11">
        <f>COUNTIFS(Coverage!B2:B21,A21,Coverage!D2:D21,"Covered")</f>
        <v/>
      </c>
      <c r="C21" s="11">
        <f>COUNTIFS(Coverage!B2:B21,A21,Coverage!D2:D21,"Partially covered")</f>
        <v/>
      </c>
      <c r="D21" s="11">
        <f>COUNTIFS(Coverage!B2:B21,A21,Coverage!D2:D21,"Not covered")</f>
        <v/>
      </c>
    </row>
    <row r="22">
      <c r="A22" s="3" t="inlineStr">
        <is>
          <t>Timeline</t>
        </is>
      </c>
      <c r="B22" s="11">
        <f>COUNTIFS(Coverage!B2:B21,A22,Coverage!D2:D21,"Covered")</f>
        <v/>
      </c>
      <c r="C22" s="11">
        <f>COUNTIFS(Coverage!B2:B21,A22,Coverage!D2:D21,"Partially covered")</f>
        <v/>
      </c>
      <c r="D22" s="11">
        <f>COUNTIFS(Coverage!B2:B21,A22,Coverage!D2:D21,"Not covered")</f>
        <v/>
      </c>
    </row>
    <row r="23">
      <c r="A23" s="3" t="inlineStr">
        <is>
          <t>Proposal requirement</t>
        </is>
      </c>
      <c r="B23" s="11">
        <f>COUNTIFS(Coverage!B2:B21,A23,Coverage!D2:D21,"Covered")</f>
        <v/>
      </c>
      <c r="C23" s="11">
        <f>COUNTIFS(Coverage!B2:B21,A23,Coverage!D2:D21,"Partially covered")</f>
        <v/>
      </c>
      <c r="D23" s="11">
        <f>COUNTIFS(Coverage!B2:B21,A23,Coverage!D2:D21,"Not covered")</f>
        <v/>
      </c>
    </row>
    <row r="26">
      <c r="A26" s="4" t="inlineStr">
        <is>
          <t>How to read this report</t>
        </is>
      </c>
    </row>
    <row r="27" ht="24" customHeight="1">
      <c r="A27" s="12" t="inlineStr">
        <is>
          <t>• Coverage: one row per RFP requirement, with the slide(s) that address it and an exact quote from the slide as evidence.</t>
        </is>
      </c>
    </row>
    <row r="28" ht="24" customHeight="1">
      <c r="A28" s="12" t="inlineStr">
        <is>
          <t>• Gaps: requirements the deck does not fully address, and what is missing. Start here before submission.</t>
        </is>
      </c>
    </row>
    <row r="29" ht="24" customHeight="1">
      <c r="A29" s="12" t="inlineStr">
        <is>
          <t>• Slide map / Matrix: the same results seen from the slides' side (C = covers, P = partly covers).</t>
        </is>
      </c>
    </row>
    <row r="30" ht="24" customHeight="1">
      <c r="A30" s="12" t="inlineStr">
        <is>
          <t>• Covered = the slides commit to every part of the requirement. Partially covered = at least one part is missing. Not covered = no slide commits to it.</t>
        </is>
      </c>
    </row>
    <row r="31" ht="24" customHeight="1">
      <c r="A31" s="12" t="inlineStr">
        <is>
          <t>• Every requirement quotes the RFP word for word, and every evidence quote was checked by code to exist on the cited slide. 'Needs review' marks verdicts that failed a check.</t>
        </is>
      </c>
    </row>
    <row r="32" ht="24" customHeight="1">
      <c r="A32" s="12" t="inlineStr">
        <is>
          <t>• Speaker notes are not counted: the client never sees them.</t>
        </is>
      </c>
    </row>
  </sheetData>
  <mergeCells count="6">
    <mergeCell ref="A27:D27"/>
    <mergeCell ref="A31:D31"/>
    <mergeCell ref="A30:D30"/>
    <mergeCell ref="A29:D29"/>
    <mergeCell ref="A28:D28"/>
    <mergeCell ref="A32:D3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5" customWidth="1" min="3" max="3"/>
    <col width="17" customWidth="1" min="4" max="4"/>
    <col width="10" customWidth="1" min="5" max="5"/>
    <col width="45" customWidth="1" min="6" max="6"/>
    <col width="38" customWidth="1" min="7" max="7"/>
    <col width="50" customWidth="1" min="8" max="8"/>
    <col width="11" customWidth="1" min="9" max="9"/>
    <col width="10" customWidth="1" min="10" max="10"/>
    <col width="26" customWidth="1" min="11" max="11"/>
    <col width="50" customWidth="1" min="12" max="12"/>
  </cols>
  <sheetData>
    <row r="1">
      <c r="A1" s="13" t="inlineStr">
        <is>
          <t>ID</t>
        </is>
      </c>
      <c r="B1" s="13" t="inlineStr">
        <is>
          <t>Category</t>
        </is>
      </c>
      <c r="C1" s="13" t="inlineStr">
        <is>
          <t>Requirement (from RFP)</t>
        </is>
      </c>
      <c r="D1" s="13" t="inlineStr">
        <is>
          <t>Status</t>
        </is>
      </c>
      <c r="E1" s="13" t="inlineStr">
        <is>
          <t>Slide(s)</t>
        </is>
      </c>
      <c r="F1" s="13" t="inlineStr">
        <is>
          <t>Evidence (exact slide text)</t>
        </is>
      </c>
      <c r="G1" s="13" t="inlineStr">
        <is>
          <t>What's missing</t>
        </is>
      </c>
      <c r="H1" s="13" t="inlineStr">
        <is>
          <t>Reasoning</t>
        </is>
      </c>
      <c r="I1" s="13" t="inlineStr">
        <is>
          <t>Confidence</t>
        </is>
      </c>
      <c r="J1" s="13" t="inlineStr">
        <is>
          <t>Needs review</t>
        </is>
      </c>
      <c r="K1" s="13" t="inlineStr">
        <is>
          <t>RFP section</t>
        </is>
      </c>
      <c r="L1" s="13" t="inlineStr">
        <is>
          <t>RFP wording</t>
        </is>
      </c>
    </row>
    <row r="2">
      <c r="A2" s="14" t="inlineStr">
        <is>
          <t>R01</t>
        </is>
      </c>
      <c r="B2" s="14" t="inlineStr">
        <is>
          <t>Scope</t>
        </is>
      </c>
      <c r="C2" s="14" t="inlineStr">
        <is>
          <t>Execute a comprehensive mapping of existing patient journeys throughout the network of 4 hospitals and 12 outpatient clinics.</t>
        </is>
      </c>
      <c r="D2" s="15" t="inlineStr">
        <is>
          <t>Covered</t>
        </is>
      </c>
      <c r="E2" s="14" t="inlineStr">
        <is>
          <t>5</t>
        </is>
      </c>
      <c r="F2" s="14" t="inlineStr">
        <is>
          <t>Map end-to-end care pathways across all sixteen facilities.</t>
        </is>
      </c>
      <c r="G2" s="14" t="inlineStr"/>
      <c r="H2" s="14" t="inlineStr">
        <is>
          <t>Slide 5 commits to mapping care pathways across all sixteen facilities (which equals 4 hospitals and 12 outpatient clinics), fulfilling the comprehensive mapping requirement.</t>
        </is>
      </c>
      <c r="I2" s="14" t="inlineStr">
        <is>
          <t>High</t>
        </is>
      </c>
      <c r="J2" s="14" t="inlineStr">
        <is>
          <t>No</t>
        </is>
      </c>
      <c r="K2" s="14" t="inlineStr">
        <is>
          <t>2. Scope of Services</t>
        </is>
      </c>
      <c r="L2" s="14" t="inlineStr">
        <is>
          <t>The Supplier will execute a comprehensive mapping of existing patient journeys throughout our entire network of 4 hospitals and 12 outpatient clinics.</t>
        </is>
      </c>
    </row>
    <row r="3">
      <c r="A3" s="14" t="inlineStr">
        <is>
          <t>R02</t>
        </is>
      </c>
      <c r="B3" s="14" t="inlineStr">
        <is>
          <t>Scope</t>
        </is>
      </c>
      <c r="C3" s="14" t="inlineStr">
        <is>
          <t>Perform a rigorous analysis of waiting-time data covering the previous 24 months for emergency departments and outpatient services.</t>
        </is>
      </c>
      <c r="D3" s="16" t="inlineStr">
        <is>
          <t>Partially covered</t>
        </is>
      </c>
      <c r="E3" s="14" t="inlineStr">
        <is>
          <t>6</t>
        </is>
      </c>
      <c r="F3" s="14" t="inlineStr">
        <is>
          <t>Quantify queue lengths using two years of historical records.</t>
        </is>
      </c>
      <c r="G3" s="14" t="inlineStr">
        <is>
          <t>Analysis covering emergency departments</t>
        </is>
      </c>
      <c r="H3" s="14" t="inlineStr">
        <is>
          <t>Slide 6 covers the analysis of outpatient services for the previous 24 months, but there is no mention of emergency departments.</t>
        </is>
      </c>
      <c r="I3" s="14" t="inlineStr">
        <is>
          <t>High</t>
        </is>
      </c>
      <c r="J3" s="14" t="inlineStr">
        <is>
          <t>No</t>
        </is>
      </c>
      <c r="K3" s="14" t="inlineStr">
        <is>
          <t>2. Scope of Services</t>
        </is>
      </c>
      <c r="L3" s="14" t="inlineStr">
        <is>
          <t>bidders are required to perform a rigorous analysis of waiting-time data covering the previous 24 months for both our emergency departments and outpatient services.</t>
        </is>
      </c>
    </row>
    <row r="4">
      <c r="A4" s="14" t="inlineStr">
        <is>
          <t>R03</t>
        </is>
      </c>
      <c r="B4" s="14" t="inlineStr">
        <is>
          <t>Scope</t>
        </is>
      </c>
      <c r="C4" s="14" t="inlineStr">
        <is>
          <t>Conduct no fewer than 60 in-depth interviews with patients and clinical staff members.</t>
        </is>
      </c>
      <c r="D4" s="15" t="inlineStr">
        <is>
          <t>Covered</t>
        </is>
      </c>
      <c r="E4" s="14" t="inlineStr">
        <is>
          <t>5</t>
        </is>
      </c>
      <c r="F4" s="14" t="inlineStr">
        <is>
          <t>Conduct sixty-plus sessions gathering feedback from patients and staff.</t>
        </is>
      </c>
      <c r="G4" s="14" t="inlineStr"/>
      <c r="H4" s="14" t="inlineStr">
        <is>
          <t>Slide 5 explicitly commits to conducting sixty-plus sessions gathering feedback from patients and staff, which directly meets the requirement of no fewer than 60 in-depth interviews with patients and clinical staff.</t>
        </is>
      </c>
      <c r="I4" s="14" t="inlineStr">
        <is>
          <t>High</t>
        </is>
      </c>
      <c r="J4" s="14" t="inlineStr">
        <is>
          <t>No</t>
        </is>
      </c>
      <c r="K4" s="14" t="inlineStr">
        <is>
          <t>2. Scope of Services</t>
        </is>
      </c>
      <c r="L4" s="14" t="inlineStr">
        <is>
          <t>the engagement must involve conducting no fewer than 60 in-depth interviews with our patients and clinical staff members.</t>
        </is>
      </c>
    </row>
    <row r="5">
      <c r="A5" s="14" t="inlineStr">
        <is>
          <t>R04</t>
        </is>
      </c>
      <c r="B5" s="14" t="inlineStr">
        <is>
          <t>Scope</t>
        </is>
      </c>
      <c r="C5" s="14" t="inlineStr">
        <is>
          <t>Conduct a thorough audit to assess patient data handling adherence to national health data protection regulations.</t>
        </is>
      </c>
      <c r="D5" s="17" t="inlineStr">
        <is>
          <t>Not covered</t>
        </is>
      </c>
      <c r="E5" s="14" t="inlineStr">
        <is>
          <t>-</t>
        </is>
      </c>
      <c r="F5" s="14" t="inlineStr"/>
      <c r="G5" s="14" t="inlineStr">
        <is>
          <t>Conducting a thorough audit to assess whether patient data handling adheres to national health data protection regulations.</t>
        </is>
      </c>
      <c r="H5" s="14" t="inlineStr">
        <is>
          <t>The proposal mentions information security certifications and data protection as a core value for the firm (Slide 2), but does not commit to conducting an audit of the client's patient data handling against national health data protection regulations.</t>
        </is>
      </c>
      <c r="I5" s="14" t="inlineStr">
        <is>
          <t>High</t>
        </is>
      </c>
      <c r="J5" s="14" t="inlineStr">
        <is>
          <t>No</t>
        </is>
      </c>
      <c r="K5" s="14" t="inlineStr">
        <is>
          <t>2. Scope of Services</t>
        </is>
      </c>
      <c r="L5" s="14" t="inlineStr">
        <is>
          <t>It is expected that the partner will conduct a thorough audit to assess whether our current handling of patient data strictly adheres to all applicable national health data protection regulations.</t>
        </is>
      </c>
    </row>
    <row r="6">
      <c r="A6" s="14" t="inlineStr">
        <is>
          <t>R05</t>
        </is>
      </c>
      <c r="B6" s="14" t="inlineStr">
        <is>
          <t>Scope</t>
        </is>
      </c>
      <c r="C6" s="14" t="inlineStr">
        <is>
          <t>Benchmark network operational performance against a minimum of five peer-level international hospital groups.</t>
        </is>
      </c>
      <c r="D6" s="17" t="inlineStr">
        <is>
          <t>Not covered</t>
        </is>
      </c>
      <c r="E6" s="14" t="inlineStr">
        <is>
          <t>-</t>
        </is>
      </c>
      <c r="F6" s="14" t="inlineStr"/>
      <c r="G6" s="14" t="inlineStr">
        <is>
          <t>Benchmarking network operational performance against a minimum of five peer-level international hospital groups.</t>
        </is>
      </c>
      <c r="H6" s="14" t="inlineStr">
        <is>
          <t>While slide 15 mentions a proprietary database covering 200+ hospitals globally, the proposal slides never commit to performing a specific benchmark against a minimum of five peer-level international hospital groups as requested.</t>
        </is>
      </c>
      <c r="I6" s="14" t="inlineStr">
        <is>
          <t>High</t>
        </is>
      </c>
      <c r="J6" s="14" t="inlineStr">
        <is>
          <t>No</t>
        </is>
      </c>
      <c r="K6" s="14" t="inlineStr">
        <is>
          <t>2. Scope of Services</t>
        </is>
      </c>
      <c r="L6" s="14" t="inlineStr">
        <is>
          <t>the firm will benchmark our network's operational performance against a minimum of five peer-level international hospital groups to identify gaps and best-in-class practices.</t>
        </is>
      </c>
    </row>
    <row r="7">
      <c r="A7" s="14" t="inlineStr">
        <is>
          <t>R06</t>
        </is>
      </c>
      <c r="B7" s="14" t="inlineStr">
        <is>
          <t>Scope</t>
        </is>
      </c>
      <c r="C7" s="14" t="inlineStr">
        <is>
          <t>Recommend a digital front-door strategy including online appointment booking, a symptom-triage chatbot, and a branded patient mobile app.</t>
        </is>
      </c>
      <c r="D7" s="16" t="inlineStr">
        <is>
          <t>Partially covered</t>
        </is>
      </c>
      <c r="E7" s="14" t="inlineStr">
        <is>
          <t>7</t>
        </is>
      </c>
      <c r="F7" s="14" t="inlineStr">
        <is>
          <t>Develop requirements for a seamless online appointment booking platform.
- Create a patient mobile app to enhance service interaction.</t>
        </is>
      </c>
      <c r="G7" s="14" t="inlineStr">
        <is>
          <t>symptom-triage chatbot</t>
        </is>
      </c>
      <c r="H7" s="14" t="inlineStr">
        <is>
          <t>The slides commit to online appointment booking and a branded patient mobile app, but completely omit the symptom-triage chatbot requirement.</t>
        </is>
      </c>
      <c r="I7" s="14" t="inlineStr">
        <is>
          <t>High</t>
        </is>
      </c>
      <c r="J7" s="14" t="inlineStr">
        <is>
          <t>No</t>
        </is>
      </c>
      <c r="K7" s="14" t="inlineStr">
        <is>
          <t>2. Scope of Services</t>
        </is>
      </c>
      <c r="L7" s="14" t="inlineStr">
        <is>
          <t>The partner will recommend a comprehensive digital front-door strategy, which must include specifications for online appointment booking systems, an integrated symptom-triage chatbot, and a branded patient mobile application.</t>
        </is>
      </c>
    </row>
    <row r="8">
      <c r="A8" s="14" t="inlineStr">
        <is>
          <t>R07</t>
        </is>
      </c>
      <c r="B8" s="14" t="inlineStr">
        <is>
          <t>Scope</t>
        </is>
      </c>
      <c r="C8" s="14" t="inlineStr">
        <is>
          <t>Develop a workforce scheduling optimization model tailored for doctors and nurses.</t>
        </is>
      </c>
      <c r="D8" s="16" t="inlineStr">
        <is>
          <t>Partially covered</t>
        </is>
      </c>
      <c r="E8" s="14" t="inlineStr">
        <is>
          <t>8</t>
        </is>
      </c>
      <c r="F8" s="14" t="inlineStr">
        <is>
          <t>Engineer a robust system for managing clinical staff rotations.</t>
        </is>
      </c>
      <c r="G8" s="14" t="inlineStr">
        <is>
          <t>Tailored specifically for both doctors and nurses (only clinical staff rotations are mentioned without explicit inclusion of both doctors and nurses).</t>
        </is>
      </c>
      <c r="H8" s="14" t="inlineStr">
        <is>
          <t>Slide 8 commits to engineering a robust system for managing clinical staff rotations, but the requirement specifies tailoring for both doctors and nurses explicitly.</t>
        </is>
      </c>
      <c r="I8" s="14" t="inlineStr">
        <is>
          <t>High</t>
        </is>
      </c>
      <c r="J8" s="14" t="inlineStr">
        <is>
          <t>No</t>
        </is>
      </c>
      <c r="K8" s="14" t="inlineStr">
        <is>
          <t>2. Scope of Services</t>
        </is>
      </c>
      <c r="L8" s="14" t="inlineStr">
        <is>
          <t>Additionally, the Supplier is tasked with developing a robust workforce scheduling optimization model specifically tailored for our doctors and nurses.</t>
        </is>
      </c>
    </row>
    <row r="9">
      <c r="A9" s="14" t="inlineStr">
        <is>
          <t>R08</t>
        </is>
      </c>
      <c r="B9" s="14" t="inlineStr">
        <is>
          <t>Scope</t>
        </is>
      </c>
      <c r="C9" s="14" t="inlineStr">
        <is>
          <t>Design a formal program governance model with a dedicated steering board and monthly KPI reviews.</t>
        </is>
      </c>
      <c r="D9" s="15" t="inlineStr">
        <is>
          <t>Covered</t>
        </is>
      </c>
      <c r="E9" s="14" t="inlineStr">
        <is>
          <t>9</t>
        </is>
      </c>
      <c r="F9" s="14" t="inlineStr">
        <is>
          <t>Establish an executive steering board for high-level oversight.
- Review performance indicators through monthly leadership meetings.</t>
        </is>
      </c>
      <c r="G9" s="14" t="inlineStr"/>
      <c r="H9" s="14" t="inlineStr">
        <is>
          <t>Slide 9 explicitly commits to establishing an executive steering board and reviewing performance indicators (KPIs) through monthly meetings.</t>
        </is>
      </c>
      <c r="I9" s="14" t="inlineStr">
        <is>
          <t>High</t>
        </is>
      </c>
      <c r="J9" s="14" t="inlineStr">
        <is>
          <t>No</t>
        </is>
      </c>
      <c r="K9" s="14" t="inlineStr">
        <is>
          <t>2. Scope of Services</t>
        </is>
      </c>
      <c r="L9" s="14" t="inlineStr">
        <is>
          <t>Bidders must design a formal program governance model, incorporating a dedicated steering board and a cadence for monthly KPI reviews.</t>
        </is>
      </c>
    </row>
    <row r="10">
      <c r="A10" s="14" t="inlineStr">
        <is>
          <t>R09</t>
        </is>
      </c>
      <c r="B10" s="14" t="inlineStr">
        <is>
          <t>Scope</t>
        </is>
      </c>
      <c r="C10" s="14" t="inlineStr">
        <is>
          <t>Provide a detailed change management and training plan directed at all frontline staff members.</t>
        </is>
      </c>
      <c r="D10" s="16" t="inlineStr">
        <is>
          <t>Partially covered</t>
        </is>
      </c>
      <c r="E10" s="14" t="inlineStr">
        <is>
          <t>10</t>
        </is>
      </c>
      <c r="F10" s="14" t="inlineStr">
        <is>
          <t>Launch a dedicated training academy for nursing staff.</t>
        </is>
      </c>
      <c r="G10" s="14" t="inlineStr">
        <is>
          <t>A detailed change management plan and training for all frontline staff members (not just nursing staff) across the full network of hospitals and clinics.</t>
        </is>
      </c>
      <c r="H10" s="14" t="inlineStr">
        <is>
          <t>Slide 10 mentions training specifically for nursing staff rather than all frontline staff, and there is no mention of a detailed change management plan.</t>
        </is>
      </c>
      <c r="I10" s="14" t="inlineStr">
        <is>
          <t>High</t>
        </is>
      </c>
      <c r="J10" s="14" t="inlineStr">
        <is>
          <t>No</t>
        </is>
      </c>
      <c r="K10" s="14" t="inlineStr">
        <is>
          <t>2. Scope of Services</t>
        </is>
      </c>
      <c r="L10" s="14" t="inlineStr">
        <is>
          <t>Furthermore, the partner will provide a detailed change management and training plan directed at all frontline staff members operating across our full network of hospitals and clinics.</t>
        </is>
      </c>
    </row>
    <row r="11">
      <c r="A11" s="14" t="inlineStr">
        <is>
          <t>R10</t>
        </is>
      </c>
      <c r="B11" s="14" t="inlineStr">
        <is>
          <t>Deliverable</t>
        </is>
      </c>
      <c r="C11" s="14" t="inlineStr">
        <is>
          <t>Deliver a baseline diagnostic report covering current patient experience and operations.</t>
        </is>
      </c>
      <c r="D11" s="15" t="inlineStr">
        <is>
          <t>Covered</t>
        </is>
      </c>
      <c r="E11" s="14" t="inlineStr">
        <is>
          <t>11</t>
        </is>
      </c>
      <c r="F11" s="14" t="inlineStr">
        <is>
          <t>Comprehensive baseline report on patient experience and operations.</t>
        </is>
      </c>
      <c r="G11" s="14" t="inlineStr"/>
      <c r="H11" s="14" t="inlineStr">
        <is>
          <t>Slide 11 explicitly commits to delivering a comprehensive baseline report covering both patient experience and operations, directly addressing the client's requirement.</t>
        </is>
      </c>
      <c r="I11" s="14" t="inlineStr">
        <is>
          <t>High</t>
        </is>
      </c>
      <c r="J11" s="14" t="inlineStr">
        <is>
          <t>No</t>
        </is>
      </c>
      <c r="K11" s="14" t="inlineStr">
        <is>
          <t>3. Deliverables</t>
        </is>
      </c>
      <c r="L11" s="14" t="inlineStr">
        <is>
          <t>3.1 Baseline diagnostic report covering the current state of patient experience and operations.</t>
        </is>
      </c>
    </row>
    <row r="12">
      <c r="A12" s="14" t="inlineStr">
        <is>
          <t>R11</t>
        </is>
      </c>
      <c r="B12" s="14" t="inlineStr">
        <is>
          <t>Deliverable</t>
        </is>
      </c>
      <c r="C12" s="14" t="inlineStr">
        <is>
          <t>Deliver a prioritised initiative roadmap including a cost-benefit estimate for every proposed initiative.</t>
        </is>
      </c>
      <c r="D12" s="16" t="inlineStr">
        <is>
          <t>Partially covered</t>
        </is>
      </c>
      <c r="E12" s="14" t="inlineStr">
        <is>
          <t>11</t>
        </is>
      </c>
      <c r="F12" s="14" t="inlineStr">
        <is>
          <t>Prioritized sequence of initiatives for future implementation.</t>
        </is>
      </c>
      <c r="G12" s="14" t="inlineStr">
        <is>
          <t>Cost-benefit estimate for every proposed initiative</t>
        </is>
      </c>
      <c r="H12" s="14" t="inlineStr">
        <is>
          <t>Slide 11 commits to a prioritized sequence of initiatives, but the slides do not provide any cost-benefit estimate for each proposed initiative.</t>
        </is>
      </c>
      <c r="I12" s="14" t="inlineStr">
        <is>
          <t>High</t>
        </is>
      </c>
      <c r="J12" s="14" t="inlineStr">
        <is>
          <t>No</t>
        </is>
      </c>
      <c r="K12" s="14" t="inlineStr">
        <is>
          <t>3. Deliverables</t>
        </is>
      </c>
      <c r="L12" s="14" t="inlineStr">
        <is>
          <t>3.2 A prioritised initiative roadmap, including a detailed cost-benefit estimate for every proposed initiative.</t>
        </is>
      </c>
    </row>
    <row r="13">
      <c r="A13" s="14" t="inlineStr">
        <is>
          <t>R12</t>
        </is>
      </c>
      <c r="B13" s="14" t="inlineStr">
        <is>
          <t>Deliverable</t>
        </is>
      </c>
      <c r="C13" s="14" t="inlineStr">
        <is>
          <t>Deliver an interactive dashboard visualizing patient-experience KPIs and hand it over to the internal IT team.</t>
        </is>
      </c>
      <c r="D13" s="15" t="inlineStr">
        <is>
          <t>Covered</t>
        </is>
      </c>
      <c r="E13" s="14" t="inlineStr">
        <is>
          <t>11</t>
        </is>
      </c>
      <c r="F13" s="14" t="inlineStr">
        <is>
          <t>Live performance cockpit transferred to your internal technology team.</t>
        </is>
      </c>
      <c r="G13" s="14" t="inlineStr"/>
      <c r="H13" s="14" t="inlineStr">
        <is>
          <t>Slide 11 commits to delivering a live performance cockpit (interactive dashboard visualizing KPIs) and transferring it to the internal technology team.</t>
        </is>
      </c>
      <c r="I13" s="14" t="inlineStr">
        <is>
          <t>High</t>
        </is>
      </c>
      <c r="J13" s="14" t="inlineStr">
        <is>
          <t>No</t>
        </is>
      </c>
      <c r="K13" s="14" t="inlineStr">
        <is>
          <t>3. Deliverables</t>
        </is>
      </c>
      <c r="L13" s="14" t="inlineStr">
        <is>
          <t>3.3 An interactive dashboard visualizing patient-experience KPIs, which must be fully handed over to our internal IT team upon completion.</t>
        </is>
      </c>
    </row>
    <row r="14">
      <c r="A14" s="14" t="inlineStr">
        <is>
          <t>R13</t>
        </is>
      </c>
      <c r="B14" s="14" t="inlineStr">
        <is>
          <t>Deliverable</t>
        </is>
      </c>
      <c r="C14" s="14" t="inlineStr">
        <is>
          <t>Provide the final report in both English and Arabic.</t>
        </is>
      </c>
      <c r="D14" s="16" t="inlineStr">
        <is>
          <t>Partially covered</t>
        </is>
      </c>
      <c r="E14" s="14" t="inlineStr">
        <is>
          <t>13</t>
        </is>
      </c>
      <c r="F14" s="14" t="inlineStr">
        <is>
          <t>Analyst: Data science lead fluent in English and Arabic.</t>
        </is>
      </c>
      <c r="G14" s="14" t="inlineStr">
        <is>
          <t>The proposal commits to having an analyst fluent in English and Arabic, but it does not commit to providing the final report itself in both English and Arabic.</t>
        </is>
      </c>
      <c r="H14" s="14" t="inlineStr">
        <is>
          <t>Slide 13 mentions language fluency for a team member, but nowhere in the deck is there a commitment to deliver the final report in both English and Arabic.</t>
        </is>
      </c>
      <c r="I14" s="14" t="inlineStr">
        <is>
          <t>High</t>
        </is>
      </c>
      <c r="J14" s="14" t="inlineStr">
        <is>
          <t>No</t>
        </is>
      </c>
      <c r="K14" s="14" t="inlineStr">
        <is>
          <t>3. Deliverables</t>
        </is>
      </c>
      <c r="L14" s="14" t="inlineStr">
        <is>
          <t>3.4 To ensure accessibility across our stakeholder base, the final report must be provided in both English and Arabic.</t>
        </is>
      </c>
    </row>
    <row r="15">
      <c r="A15" s="14" t="inlineStr">
        <is>
          <t>R14</t>
        </is>
      </c>
      <c r="B15" s="14" t="inlineStr">
        <is>
          <t>Deliverable</t>
        </is>
      </c>
      <c r="C15" s="14" t="inlineStr">
        <is>
          <t>Provide weekly written progress updates to the project sponsor.</t>
        </is>
      </c>
      <c r="D15" s="15" t="inlineStr">
        <is>
          <t>Covered</t>
        </is>
      </c>
      <c r="E15" s="14" t="inlineStr">
        <is>
          <t>12</t>
        </is>
      </c>
      <c r="F15" s="14" t="inlineStr">
        <is>
          <t>Status updates provided every Thursday to the executive sponsor.</t>
        </is>
      </c>
      <c r="G15" s="14" t="inlineStr"/>
      <c r="H15" s="14" t="inlineStr">
        <is>
          <t>Slide 12 commits to providing status updates every Thursday to the executive sponsor (project sponsor), fulfilling the weekly cadence and recipient requirements.</t>
        </is>
      </c>
      <c r="I15" s="14" t="inlineStr">
        <is>
          <t>High</t>
        </is>
      </c>
      <c r="J15" s="14" t="inlineStr">
        <is>
          <t>No</t>
        </is>
      </c>
      <c r="K15" s="14" t="inlineStr">
        <is>
          <t>3. Deliverables</t>
        </is>
      </c>
      <c r="L15" s="14" t="inlineStr">
        <is>
          <t>3.5 The Supplier will provide weekly written progress updates directly to the project sponsor.</t>
        </is>
      </c>
    </row>
    <row r="16">
      <c r="A16" s="14" t="inlineStr">
        <is>
          <t>R15</t>
        </is>
      </c>
      <c r="B16" s="14" t="inlineStr">
        <is>
          <t>Timeline</t>
        </is>
      </c>
      <c r="C16" s="14" t="inlineStr">
        <is>
          <t>Complete the engagement within a maximum timeframe of 20 weeks.</t>
        </is>
      </c>
      <c r="D16" s="15" t="inlineStr">
        <is>
          <t>Covered</t>
        </is>
      </c>
      <c r="E16" s="14" t="inlineStr">
        <is>
          <t>12</t>
        </is>
      </c>
      <c r="F16" s="14" t="inlineStr">
        <is>
          <t>The total engagement duration is 20 weeks.</t>
        </is>
      </c>
      <c r="G16" s="14" t="inlineStr"/>
      <c r="H16" s="14" t="inlineStr">
        <is>
          <t>Slide 12 explicitly states that the total engagement duration is 20 weeks, which fully satisfies the requirement for a maximum timeframe of 20 weeks.</t>
        </is>
      </c>
      <c r="I16" s="14" t="inlineStr">
        <is>
          <t>High</t>
        </is>
      </c>
      <c r="J16" s="14" t="inlineStr">
        <is>
          <t>No</t>
        </is>
      </c>
      <c r="K16" s="14" t="inlineStr">
        <is>
          <t>4. Timeline and Scheduling</t>
        </is>
      </c>
      <c r="L16" s="14" t="inlineStr">
        <is>
          <t>The engagement is expected to be completed within a maximum timeframe of 20 weeks.</t>
        </is>
      </c>
    </row>
    <row r="17">
      <c r="A17" s="14" t="inlineStr">
        <is>
          <t>R16</t>
        </is>
      </c>
      <c r="B17" s="14" t="inlineStr">
        <is>
          <t>Timeline</t>
        </is>
      </c>
      <c r="C17" s="14" t="inlineStr">
        <is>
          <t>Begin on-site work within 10 working days following the contract award.</t>
        </is>
      </c>
      <c r="D17" s="17" t="inlineStr">
        <is>
          <t>Not covered</t>
        </is>
      </c>
      <c r="E17" s="14" t="inlineStr">
        <is>
          <t>-</t>
        </is>
      </c>
      <c r="F17" s="14" t="inlineStr"/>
      <c r="G17" s="14" t="inlineStr">
        <is>
          <t>The timeline requirement to begin on-site work within 10 working days following contract award is not mentioned in the proposal.</t>
        </is>
      </c>
      <c r="H17" s="14" t="inlineStr">
        <is>
          <t>The proposal slides outline a 20-week workplan starting with Phase 1 (Listen), but they do not contain any commitment regarding starting on-site work within 10 working days of contract award.</t>
        </is>
      </c>
      <c r="I17" s="14" t="inlineStr">
        <is>
          <t>High</t>
        </is>
      </c>
      <c r="J17" s="14" t="inlineStr">
        <is>
          <t>No</t>
        </is>
      </c>
      <c r="K17" s="14" t="inlineStr">
        <is>
          <t>4. Timeline and Scheduling</t>
        </is>
      </c>
      <c r="L17" s="14" t="inlineStr">
        <is>
          <t>Following the contract award, the Supplier must begin on-site work within 10 working days.</t>
        </is>
      </c>
    </row>
    <row r="18">
      <c r="A18" s="14" t="inlineStr">
        <is>
          <t>R17</t>
        </is>
      </c>
      <c r="B18" s="14" t="inlineStr">
        <is>
          <t>Timeline</t>
        </is>
      </c>
      <c r="C18" s="14" t="inlineStr">
        <is>
          <t>Present interim findings no later than week 10 of the project.</t>
        </is>
      </c>
      <c r="D18" s="15" t="inlineStr">
        <is>
          <t>Covered</t>
        </is>
      </c>
      <c r="E18" s="14" t="inlineStr">
        <is>
          <t>12</t>
        </is>
      </c>
      <c r="F18" s="14" t="inlineStr">
        <is>
          <t>Mid-programme readout of results occurs in week 10.</t>
        </is>
      </c>
      <c r="G18" s="14" t="inlineStr"/>
      <c r="H18" s="14" t="inlineStr">
        <is>
          <t>Slide 12 explicitly commits to delivering a mid-programme readout of results in week 10, which matches the requirement to present interim findings no later than week 10.</t>
        </is>
      </c>
      <c r="I18" s="14" t="inlineStr">
        <is>
          <t>High</t>
        </is>
      </c>
      <c r="J18" s="14" t="inlineStr">
        <is>
          <t>No</t>
        </is>
      </c>
      <c r="K18" s="14" t="inlineStr">
        <is>
          <t>4. Timeline and Scheduling</t>
        </is>
      </c>
      <c r="L18" s="14" t="inlineStr">
        <is>
          <t>Furthermore, the partner is required to present their interim findings no later than week 10 of the project.</t>
        </is>
      </c>
    </row>
    <row r="19">
      <c r="A19" s="14" t="inlineStr">
        <is>
          <t>R18</t>
        </is>
      </c>
      <c r="B19" s="14" t="inlineStr">
        <is>
          <t>Proposal requirement</t>
        </is>
      </c>
      <c r="C19" s="14" t="inlineStr">
        <is>
          <t>Provide a minimum of three references from healthcare clients located within the GCC region.</t>
        </is>
      </c>
      <c r="D19" s="17" t="inlineStr">
        <is>
          <t>Not covered</t>
        </is>
      </c>
      <c r="E19" s="14" t="inlineStr">
        <is>
          <t>-</t>
        </is>
      </c>
      <c r="F19" s="14" t="inlineStr"/>
      <c r="G19" s="14" t="inlineStr">
        <is>
          <t>Minimum of three references from healthcare clients located within the GCC region</t>
        </is>
      </c>
      <c r="H19" s="14" t="inlineStr">
        <is>
          <t>The proposal states that 'Client references are available upon request' on Slide 15, but does not actually provide the three required healthcare references from the GCC region within the slides.</t>
        </is>
      </c>
      <c r="I19" s="14" t="inlineStr">
        <is>
          <t>High</t>
        </is>
      </c>
      <c r="J19" s="14" t="inlineStr">
        <is>
          <t>No</t>
        </is>
      </c>
      <c r="K19" s="14" t="inlineStr">
        <is>
          <t>5. Commercial and Submission Requirements</t>
        </is>
      </c>
      <c r="L19" s="14" t="inlineStr">
        <is>
          <t>5.1 Bidders must provide a minimum of three references from healthcare clients located within the GCC region.</t>
        </is>
      </c>
    </row>
    <row r="20">
      <c r="A20" s="14" t="inlineStr">
        <is>
          <t>R19</t>
        </is>
      </c>
      <c r="B20" s="14" t="inlineStr">
        <is>
          <t>Proposal requirement</t>
        </is>
      </c>
      <c r="C20" s="14" t="inlineStr">
        <is>
          <t>Structure the pricing model as a fixed fee with an option for milestone-based payments.</t>
        </is>
      </c>
      <c r="D20" s="15" t="inlineStr">
        <is>
          <t>Covered</t>
        </is>
      </c>
      <c r="E20" s="14" t="inlineStr">
        <is>
          <t>14</t>
        </is>
      </c>
      <c r="F20" s="14" t="inlineStr">
        <is>
          <t>Proposed fixed fee covers the total scope of engagement. Payment schedule aligned to defined milestones.</t>
        </is>
      </c>
      <c r="G20" s="14" t="inlineStr"/>
      <c r="H20" s="14" t="inlineStr">
        <is>
          <t>Slide 14 commits to a fixed fee structure and includes a payment schedule aligned to milestones, satisfying both parts of the requirement.</t>
        </is>
      </c>
      <c r="I20" s="14" t="inlineStr">
        <is>
          <t>High</t>
        </is>
      </c>
      <c r="J20" s="14" t="inlineStr">
        <is>
          <t>No</t>
        </is>
      </c>
      <c r="K20" s="14" t="inlineStr">
        <is>
          <t>5. Commercial and Submission Requirements</t>
        </is>
      </c>
      <c r="L20" s="14" t="inlineStr">
        <is>
          <t>5.2 The pricing model must be structured as a fixed fee, with the inclusion of an option for milestone-based payments.</t>
        </is>
      </c>
    </row>
    <row r="21">
      <c r="A21" s="14" t="inlineStr">
        <is>
          <t>R20</t>
        </is>
      </c>
      <c r="B21" s="14" t="inlineStr">
        <is>
          <t>Proposal requirement</t>
        </is>
      </c>
      <c r="C21" s="14" t="inlineStr">
        <is>
          <t>Name a dedicated clinical advisor with at least 10 years of professional hospital experience.</t>
        </is>
      </c>
      <c r="D21" s="16" t="inlineStr">
        <is>
          <t>Partially covered</t>
        </is>
      </c>
      <c r="E21" s="14" t="inlineStr">
        <is>
          <t>13</t>
        </is>
      </c>
      <c r="F21" s="14" t="inlineStr">
        <is>
          <t>Clinical Advisor: Former hospital CMO with 15 years experience.</t>
        </is>
      </c>
      <c r="G21" s="14" t="inlineStr">
        <is>
          <t>The proposal names a clinical advisor with 15 years of experience, but fails to explicitly name the individual.</t>
        </is>
      </c>
      <c r="H21" s="14" t="inlineStr">
        <is>
          <t>Slide 13 provides a role description ('Clinical Advisor: Former hospital CMO with 15 years experience') which satisfies the experience criterion, but it does not actually name the person as required by the RFP ('name a dedicated clinical advisor').</t>
        </is>
      </c>
      <c r="I21" s="14" t="inlineStr">
        <is>
          <t>High</t>
        </is>
      </c>
      <c r="J21" s="14" t="inlineStr">
        <is>
          <t>No</t>
        </is>
      </c>
      <c r="K21" s="14" t="inlineStr">
        <is>
          <t>5. Commercial and Submission Requirements</t>
        </is>
      </c>
      <c r="L21" s="14" t="inlineStr">
        <is>
          <t>5.3 The bidding firm is required to name a dedicated clinical advisor who possesses at least 10 years of professional hospital experience.</t>
        </is>
      </c>
    </row>
  </sheetData>
  <autoFilter ref="A1:L2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5" customWidth="1" min="3" max="3"/>
    <col width="17" customWidth="1" min="4" max="4"/>
    <col width="50" customWidth="1" min="5" max="5"/>
    <col width="14" customWidth="1" min="6" max="6"/>
    <col width="26" customWidth="1" min="7" max="7"/>
    <col width="50" customWidth="1" min="8" max="8"/>
  </cols>
  <sheetData>
    <row r="1">
      <c r="A1" s="13" t="inlineStr">
        <is>
          <t>ID</t>
        </is>
      </c>
      <c r="B1" s="13" t="inlineStr">
        <is>
          <t>Category</t>
        </is>
      </c>
      <c r="C1" s="13" t="inlineStr">
        <is>
          <t>Requirement</t>
        </is>
      </c>
      <c r="D1" s="13" t="inlineStr">
        <is>
          <t>Status</t>
        </is>
      </c>
      <c r="E1" s="13" t="inlineStr">
        <is>
          <t>What's missing</t>
        </is>
      </c>
      <c r="F1" s="13" t="inlineStr">
        <is>
          <t>Slides that partly address it</t>
        </is>
      </c>
      <c r="G1" s="13" t="inlineStr">
        <is>
          <t>RFP section</t>
        </is>
      </c>
      <c r="H1" s="13" t="inlineStr">
        <is>
          <t>RFP wording</t>
        </is>
      </c>
    </row>
    <row r="2">
      <c r="A2" s="14" t="inlineStr">
        <is>
          <t>R02</t>
        </is>
      </c>
      <c r="B2" s="14" t="inlineStr">
        <is>
          <t>Scope</t>
        </is>
      </c>
      <c r="C2" s="14" t="inlineStr">
        <is>
          <t>Perform a rigorous analysis of waiting-time data covering the previous 24 months for emergency departments and outpatient services.</t>
        </is>
      </c>
      <c r="D2" s="16" t="inlineStr">
        <is>
          <t>Partially covered</t>
        </is>
      </c>
      <c r="E2" s="14" t="inlineStr">
        <is>
          <t>Analysis covering emergency departments</t>
        </is>
      </c>
      <c r="F2" s="14" t="inlineStr">
        <is>
          <t>6</t>
        </is>
      </c>
      <c r="G2" s="14" t="inlineStr">
        <is>
          <t>2. Scope of Services</t>
        </is>
      </c>
      <c r="H2" s="14" t="inlineStr">
        <is>
          <t>bidders are required to perform a rigorous analysis of waiting-time data covering the previous 24 months for both our emergency departments and outpatient services.</t>
        </is>
      </c>
    </row>
    <row r="3">
      <c r="A3" s="14" t="inlineStr">
        <is>
          <t>R04</t>
        </is>
      </c>
      <c r="B3" s="14" t="inlineStr">
        <is>
          <t>Scope</t>
        </is>
      </c>
      <c r="C3" s="14" t="inlineStr">
        <is>
          <t>Conduct a thorough audit to assess patient data handling adherence to national health data protection regulations.</t>
        </is>
      </c>
      <c r="D3" s="17" t="inlineStr">
        <is>
          <t>Not covered</t>
        </is>
      </c>
      <c r="E3" s="14" t="inlineStr">
        <is>
          <t>Conducting a thorough audit to assess whether patient data handling adheres to national health data protection regulations.</t>
        </is>
      </c>
      <c r="F3" s="14" t="inlineStr">
        <is>
          <t>-</t>
        </is>
      </c>
      <c r="G3" s="14" t="inlineStr">
        <is>
          <t>2. Scope of Services</t>
        </is>
      </c>
      <c r="H3" s="14" t="inlineStr">
        <is>
          <t>It is expected that the partner will conduct a thorough audit to assess whether our current handling of patient data strictly adheres to all applicable national health data protection regulations.</t>
        </is>
      </c>
    </row>
    <row r="4">
      <c r="A4" s="14" t="inlineStr">
        <is>
          <t>R05</t>
        </is>
      </c>
      <c r="B4" s="14" t="inlineStr">
        <is>
          <t>Scope</t>
        </is>
      </c>
      <c r="C4" s="14" t="inlineStr">
        <is>
          <t>Benchmark network operational performance against a minimum of five peer-level international hospital groups.</t>
        </is>
      </c>
      <c r="D4" s="17" t="inlineStr">
        <is>
          <t>Not covered</t>
        </is>
      </c>
      <c r="E4" s="14" t="inlineStr">
        <is>
          <t>Benchmarking network operational performance against a minimum of five peer-level international hospital groups.</t>
        </is>
      </c>
      <c r="F4" s="14" t="inlineStr">
        <is>
          <t>-</t>
        </is>
      </c>
      <c r="G4" s="14" t="inlineStr">
        <is>
          <t>2. Scope of Services</t>
        </is>
      </c>
      <c r="H4" s="14" t="inlineStr">
        <is>
          <t>the firm will benchmark our network's operational performance against a minimum of five peer-level international hospital groups to identify gaps and best-in-class practices.</t>
        </is>
      </c>
    </row>
    <row r="5">
      <c r="A5" s="14" t="inlineStr">
        <is>
          <t>R06</t>
        </is>
      </c>
      <c r="B5" s="14" t="inlineStr">
        <is>
          <t>Scope</t>
        </is>
      </c>
      <c r="C5" s="14" t="inlineStr">
        <is>
          <t>Recommend a digital front-door strategy including online appointment booking, a symptom-triage chatbot, and a branded patient mobile app.</t>
        </is>
      </c>
      <c r="D5" s="16" t="inlineStr">
        <is>
          <t>Partially covered</t>
        </is>
      </c>
      <c r="E5" s="14" t="inlineStr">
        <is>
          <t>symptom-triage chatbot</t>
        </is>
      </c>
      <c r="F5" s="14" t="inlineStr">
        <is>
          <t>7</t>
        </is>
      </c>
      <c r="G5" s="14" t="inlineStr">
        <is>
          <t>2. Scope of Services</t>
        </is>
      </c>
      <c r="H5" s="14" t="inlineStr">
        <is>
          <t>The partner will recommend a comprehensive digital front-door strategy, which must include specifications for online appointment booking systems, an integrated symptom-triage chatbot, and a branded patient mobile application.</t>
        </is>
      </c>
    </row>
    <row r="6">
      <c r="A6" s="14" t="inlineStr">
        <is>
          <t>R07</t>
        </is>
      </c>
      <c r="B6" s="14" t="inlineStr">
        <is>
          <t>Scope</t>
        </is>
      </c>
      <c r="C6" s="14" t="inlineStr">
        <is>
          <t>Develop a workforce scheduling optimization model tailored for doctors and nurses.</t>
        </is>
      </c>
      <c r="D6" s="16" t="inlineStr">
        <is>
          <t>Partially covered</t>
        </is>
      </c>
      <c r="E6" s="14" t="inlineStr">
        <is>
          <t>Tailored specifically for both doctors and nurses (only clinical staff rotations are mentioned without explicit inclusion of both doctors and nurses).</t>
        </is>
      </c>
      <c r="F6" s="14" t="inlineStr">
        <is>
          <t>8</t>
        </is>
      </c>
      <c r="G6" s="14" t="inlineStr">
        <is>
          <t>2. Scope of Services</t>
        </is>
      </c>
      <c r="H6" s="14" t="inlineStr">
        <is>
          <t>Additionally, the Supplier is tasked with developing a robust workforce scheduling optimization model specifically tailored for our doctors and nurses.</t>
        </is>
      </c>
    </row>
    <row r="7">
      <c r="A7" s="14" t="inlineStr">
        <is>
          <t>R09</t>
        </is>
      </c>
      <c r="B7" s="14" t="inlineStr">
        <is>
          <t>Scope</t>
        </is>
      </c>
      <c r="C7" s="14" t="inlineStr">
        <is>
          <t>Provide a detailed change management and training plan directed at all frontline staff members.</t>
        </is>
      </c>
      <c r="D7" s="16" t="inlineStr">
        <is>
          <t>Partially covered</t>
        </is>
      </c>
      <c r="E7" s="14" t="inlineStr">
        <is>
          <t>A detailed change management plan and training for all frontline staff members (not just nursing staff) across the full network of hospitals and clinics.</t>
        </is>
      </c>
      <c r="F7" s="14" t="inlineStr">
        <is>
          <t>10</t>
        </is>
      </c>
      <c r="G7" s="14" t="inlineStr">
        <is>
          <t>2. Scope of Services</t>
        </is>
      </c>
      <c r="H7" s="14" t="inlineStr">
        <is>
          <t>Furthermore, the partner will provide a detailed change management and training plan directed at all frontline staff members operating across our full network of hospitals and clinics.</t>
        </is>
      </c>
    </row>
    <row r="8">
      <c r="A8" s="14" t="inlineStr">
        <is>
          <t>R11</t>
        </is>
      </c>
      <c r="B8" s="14" t="inlineStr">
        <is>
          <t>Deliverable</t>
        </is>
      </c>
      <c r="C8" s="14" t="inlineStr">
        <is>
          <t>Deliver a prioritised initiative roadmap including a cost-benefit estimate for every proposed initiative.</t>
        </is>
      </c>
      <c r="D8" s="16" t="inlineStr">
        <is>
          <t>Partially covered</t>
        </is>
      </c>
      <c r="E8" s="14" t="inlineStr">
        <is>
          <t>Cost-benefit estimate for every proposed initiative</t>
        </is>
      </c>
      <c r="F8" s="14" t="inlineStr">
        <is>
          <t>11</t>
        </is>
      </c>
      <c r="G8" s="14" t="inlineStr">
        <is>
          <t>3. Deliverables</t>
        </is>
      </c>
      <c r="H8" s="14" t="inlineStr">
        <is>
          <t>3.2 A prioritised initiative roadmap, including a detailed cost-benefit estimate for every proposed initiative.</t>
        </is>
      </c>
    </row>
    <row r="9">
      <c r="A9" s="14" t="inlineStr">
        <is>
          <t>R13</t>
        </is>
      </c>
      <c r="B9" s="14" t="inlineStr">
        <is>
          <t>Deliverable</t>
        </is>
      </c>
      <c r="C9" s="14" t="inlineStr">
        <is>
          <t>Provide the final report in both English and Arabic.</t>
        </is>
      </c>
      <c r="D9" s="16" t="inlineStr">
        <is>
          <t>Partially covered</t>
        </is>
      </c>
      <c r="E9" s="14" t="inlineStr">
        <is>
          <t>The proposal commits to having an analyst fluent in English and Arabic, but it does not commit to providing the final report itself in both English and Arabic.</t>
        </is>
      </c>
      <c r="F9" s="14" t="inlineStr">
        <is>
          <t>13</t>
        </is>
      </c>
      <c r="G9" s="14" t="inlineStr">
        <is>
          <t>3. Deliverables</t>
        </is>
      </c>
      <c r="H9" s="14" t="inlineStr">
        <is>
          <t>3.4 To ensure accessibility across our stakeholder base, the final report must be provided in both English and Arabic.</t>
        </is>
      </c>
    </row>
    <row r="10">
      <c r="A10" s="14" t="inlineStr">
        <is>
          <t>R16</t>
        </is>
      </c>
      <c r="B10" s="14" t="inlineStr">
        <is>
          <t>Timeline</t>
        </is>
      </c>
      <c r="C10" s="14" t="inlineStr">
        <is>
          <t>Begin on-site work within 10 working days following the contract award.</t>
        </is>
      </c>
      <c r="D10" s="17" t="inlineStr">
        <is>
          <t>Not covered</t>
        </is>
      </c>
      <c r="E10" s="14" t="inlineStr">
        <is>
          <t>The timeline requirement to begin on-site work within 10 working days following contract award is not mentioned in the proposal.</t>
        </is>
      </c>
      <c r="F10" s="14" t="inlineStr">
        <is>
          <t>-</t>
        </is>
      </c>
      <c r="G10" s="14" t="inlineStr">
        <is>
          <t>4. Timeline and Scheduling</t>
        </is>
      </c>
      <c r="H10" s="14" t="inlineStr">
        <is>
          <t>Following the contract award, the Supplier must begin on-site work within 10 working days.</t>
        </is>
      </c>
    </row>
    <row r="11">
      <c r="A11" s="14" t="inlineStr">
        <is>
          <t>R18</t>
        </is>
      </c>
      <c r="B11" s="14" t="inlineStr">
        <is>
          <t>Proposal requirement</t>
        </is>
      </c>
      <c r="C11" s="14" t="inlineStr">
        <is>
          <t>Provide a minimum of three references from healthcare clients located within the GCC region.</t>
        </is>
      </c>
      <c r="D11" s="17" t="inlineStr">
        <is>
          <t>Not covered</t>
        </is>
      </c>
      <c r="E11" s="14" t="inlineStr">
        <is>
          <t>Minimum of three references from healthcare clients located within the GCC region</t>
        </is>
      </c>
      <c r="F11" s="14" t="inlineStr">
        <is>
          <t>-</t>
        </is>
      </c>
      <c r="G11" s="14" t="inlineStr">
        <is>
          <t>5. Commercial and Submission Requirements</t>
        </is>
      </c>
      <c r="H11" s="14" t="inlineStr">
        <is>
          <t>5.1 Bidders must provide a minimum of three references from healthcare clients located within the GCC region.</t>
        </is>
      </c>
    </row>
    <row r="12">
      <c r="A12" s="14" t="inlineStr">
        <is>
          <t>R20</t>
        </is>
      </c>
      <c r="B12" s="14" t="inlineStr">
        <is>
          <t>Proposal requirement</t>
        </is>
      </c>
      <c r="C12" s="14" t="inlineStr">
        <is>
          <t>Name a dedicated clinical advisor with at least 10 years of professional hospital experience.</t>
        </is>
      </c>
      <c r="D12" s="16" t="inlineStr">
        <is>
          <t>Partially covered</t>
        </is>
      </c>
      <c r="E12" s="14" t="inlineStr">
        <is>
          <t>The proposal names a clinical advisor with 15 years of experience, but fails to explicitly name the individual.</t>
        </is>
      </c>
      <c r="F12" s="14" t="inlineStr">
        <is>
          <t>13</t>
        </is>
      </c>
      <c r="G12" s="14" t="inlineStr">
        <is>
          <t>5. Commercial and Submission Requirements</t>
        </is>
      </c>
      <c r="H12" s="14" t="inlineStr">
        <is>
          <t>5.3 The bidding firm is required to name a dedicated clinical advisor who possesses at least 10 years of professional hospital experience.</t>
        </is>
      </c>
    </row>
  </sheetData>
  <autoFilter ref="A1:H1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5" customWidth="1" min="3" max="3"/>
    <col width="35" customWidth="1" min="4" max="4"/>
    <col width="14" customWidth="1" min="5" max="5"/>
  </cols>
  <sheetData>
    <row r="1">
      <c r="A1" s="13" t="inlineStr">
        <is>
          <t>Slide</t>
        </is>
      </c>
      <c r="B1" s="13" t="inlineStr">
        <is>
          <t>Slide title</t>
        </is>
      </c>
      <c r="C1" s="13" t="inlineStr">
        <is>
          <t>Fully addresses</t>
        </is>
      </c>
      <c r="D1" s="13" t="inlineStr">
        <is>
          <t>Partly addresses</t>
        </is>
      </c>
      <c r="E1" s="13" t="inlineStr">
        <is>
          <t>Number of requirements</t>
        </is>
      </c>
    </row>
    <row r="2">
      <c r="A2" s="14" t="n">
        <v>1</v>
      </c>
      <c r="B2" s="14" t="inlineStr">
        <is>
          <t>Patient Experience and Clinical Operations Transformation: proposal to Falaj Health Partners</t>
        </is>
      </c>
      <c r="C2" s="14" t="inlineStr">
        <is>
          <t>-</t>
        </is>
      </c>
      <c r="D2" s="14" t="inlineStr">
        <is>
          <t>-</t>
        </is>
      </c>
      <c r="E2" s="14" t="n">
        <v>0</v>
      </c>
    </row>
    <row r="3">
      <c r="A3" s="14" t="n">
        <v>2</v>
      </c>
      <c r="B3" s="14" t="inlineStr">
        <is>
          <t>About Tessera Advisory</t>
        </is>
      </c>
      <c r="C3" s="14" t="inlineStr">
        <is>
          <t>-</t>
        </is>
      </c>
      <c r="D3" s="14" t="inlineStr">
        <is>
          <t>-</t>
        </is>
      </c>
      <c r="E3" s="14" t="n">
        <v>0</v>
      </c>
    </row>
    <row r="4">
      <c r="A4" s="14" t="n">
        <v>3</v>
      </c>
      <c r="B4" s="14" t="inlineStr">
        <is>
          <t>Our understanding</t>
        </is>
      </c>
      <c r="C4" s="14" t="inlineStr">
        <is>
          <t>-</t>
        </is>
      </c>
      <c r="D4" s="14" t="inlineStr">
        <is>
          <t>-</t>
        </is>
      </c>
      <c r="E4" s="14" t="n">
        <v>0</v>
      </c>
    </row>
    <row r="5">
      <c r="A5" s="14" t="n">
        <v>4</v>
      </c>
      <c r="B5" s="14" t="inlineStr">
        <is>
          <t>Our approach</t>
        </is>
      </c>
      <c r="C5" s="14" t="inlineStr">
        <is>
          <t>-</t>
        </is>
      </c>
      <c r="D5" s="14" t="inlineStr">
        <is>
          <t>-</t>
        </is>
      </c>
      <c r="E5" s="14" t="n">
        <v>0</v>
      </c>
    </row>
    <row r="6">
      <c r="A6" s="14" t="n">
        <v>5</v>
      </c>
      <c r="B6" s="14" t="inlineStr">
        <is>
          <t>Phase 1: Listen</t>
        </is>
      </c>
      <c r="C6" s="14" t="inlineStr">
        <is>
          <t>R01, R03</t>
        </is>
      </c>
      <c r="D6" s="14" t="inlineStr">
        <is>
          <t>-</t>
        </is>
      </c>
      <c r="E6" s="14" t="n">
        <v>2</v>
      </c>
    </row>
    <row r="7">
      <c r="A7" s="14" t="n">
        <v>6</v>
      </c>
      <c r="B7" s="14" t="inlineStr">
        <is>
          <t>Phase 2: Measure</t>
        </is>
      </c>
      <c r="C7" s="14" t="inlineStr">
        <is>
          <t>-</t>
        </is>
      </c>
      <c r="D7" s="14" t="inlineStr">
        <is>
          <t>R02</t>
        </is>
      </c>
      <c r="E7" s="14" t="n">
        <v>1</v>
      </c>
    </row>
    <row r="8">
      <c r="A8" s="14" t="n">
        <v>7</v>
      </c>
      <c r="B8" s="14" t="inlineStr">
        <is>
          <t>Phase 3: Design the digital experience</t>
        </is>
      </c>
      <c r="C8" s="14" t="inlineStr">
        <is>
          <t>-</t>
        </is>
      </c>
      <c r="D8" s="14" t="inlineStr">
        <is>
          <t>R06</t>
        </is>
      </c>
      <c r="E8" s="14" t="n">
        <v>1</v>
      </c>
    </row>
    <row r="9">
      <c r="A9" s="14" t="n">
        <v>8</v>
      </c>
      <c r="B9" s="14" t="inlineStr">
        <is>
          <t>Phase 3: Design the workforce model</t>
        </is>
      </c>
      <c r="C9" s="14" t="inlineStr">
        <is>
          <t>-</t>
        </is>
      </c>
      <c r="D9" s="14" t="inlineStr">
        <is>
          <t>R07</t>
        </is>
      </c>
      <c r="E9" s="14" t="n">
        <v>1</v>
      </c>
    </row>
    <row r="10">
      <c r="A10" s="14" t="n">
        <v>9</v>
      </c>
      <c r="B10" s="14" t="inlineStr">
        <is>
          <t>Programme leadership</t>
        </is>
      </c>
      <c r="C10" s="14" t="inlineStr">
        <is>
          <t>R08</t>
        </is>
      </c>
      <c r="D10" s="14" t="inlineStr">
        <is>
          <t>-</t>
        </is>
      </c>
      <c r="E10" s="14" t="n">
        <v>1</v>
      </c>
    </row>
    <row r="11">
      <c r="A11" s="14" t="n">
        <v>10</v>
      </c>
      <c r="B11" s="14" t="inlineStr">
        <is>
          <t>Building capability</t>
        </is>
      </c>
      <c r="C11" s="14" t="inlineStr">
        <is>
          <t>-</t>
        </is>
      </c>
      <c r="D11" s="14" t="inlineStr">
        <is>
          <t>R09</t>
        </is>
      </c>
      <c r="E11" s="14" t="n">
        <v>1</v>
      </c>
    </row>
    <row r="12">
      <c r="A12" s="14" t="n">
        <v>11</v>
      </c>
      <c r="B12" s="14" t="inlineStr">
        <is>
          <t>What you will receive</t>
        </is>
      </c>
      <c r="C12" s="14" t="inlineStr">
        <is>
          <t>R10, R12</t>
        </is>
      </c>
      <c r="D12" s="14" t="inlineStr">
        <is>
          <t>R11</t>
        </is>
      </c>
      <c r="E12" s="14" t="n">
        <v>3</v>
      </c>
    </row>
    <row r="13">
      <c r="A13" s="14" t="n">
        <v>12</v>
      </c>
      <c r="B13" s="14" t="inlineStr">
        <is>
          <t>Workplan</t>
        </is>
      </c>
      <c r="C13" s="14" t="inlineStr">
        <is>
          <t>R14, R15, R17</t>
        </is>
      </c>
      <c r="D13" s="14" t="inlineStr">
        <is>
          <t>-</t>
        </is>
      </c>
      <c r="E13" s="14" t="n">
        <v>3</v>
      </c>
    </row>
    <row r="14">
      <c r="A14" s="14" t="n">
        <v>13</v>
      </c>
      <c r="B14" s="14" t="inlineStr">
        <is>
          <t>Your team</t>
        </is>
      </c>
      <c r="C14" s="14" t="inlineStr">
        <is>
          <t>-</t>
        </is>
      </c>
      <c r="D14" s="14" t="inlineStr">
        <is>
          <t>R13, R20</t>
        </is>
      </c>
      <c r="E14" s="14" t="n">
        <v>2</v>
      </c>
    </row>
    <row r="15">
      <c r="A15" s="14" t="n">
        <v>14</v>
      </c>
      <c r="B15" s="14" t="inlineStr">
        <is>
          <t>Commercial proposal</t>
        </is>
      </c>
      <c r="C15" s="14" t="inlineStr">
        <is>
          <t>R19</t>
        </is>
      </c>
      <c r="D15" s="14" t="inlineStr">
        <is>
          <t>-</t>
        </is>
      </c>
      <c r="E15" s="14" t="n">
        <v>1</v>
      </c>
    </row>
    <row r="16">
      <c r="A16" s="14" t="n">
        <v>15</v>
      </c>
      <c r="B16" s="14" t="inlineStr">
        <is>
          <t>Relevant experience</t>
        </is>
      </c>
      <c r="C16" s="14" t="inlineStr">
        <is>
          <t>-</t>
        </is>
      </c>
      <c r="D16" s="14" t="inlineStr">
        <is>
          <t>-</t>
        </is>
      </c>
      <c r="E16" s="14" t="n">
        <v>0</v>
      </c>
    </row>
    <row r="17">
      <c r="A17" s="14" t="n">
        <v>16</v>
      </c>
      <c r="B17" s="14" t="inlineStr">
        <is>
          <t>Why Tessera and next steps</t>
        </is>
      </c>
      <c r="C17" s="14" t="inlineStr">
        <is>
          <t>-</t>
        </is>
      </c>
      <c r="D17" s="14" t="inlineStr">
        <is>
          <t>-</t>
        </is>
      </c>
      <c r="E17" s="14" t="n">
        <v>0</v>
      </c>
    </row>
  </sheetData>
  <autoFilter ref="A1:E1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13" t="inlineStr">
        <is>
          <t>ID</t>
        </is>
      </c>
      <c r="B1" s="13" t="inlineStr">
        <is>
          <t>Requirement</t>
        </is>
      </c>
      <c r="C1" s="13" t="inlineStr">
        <is>
          <t>Status</t>
        </is>
      </c>
      <c r="D1" s="13" t="inlineStr">
        <is>
          <t>S1</t>
        </is>
      </c>
      <c r="E1" s="13" t="inlineStr">
        <is>
          <t>S2</t>
        </is>
      </c>
      <c r="F1" s="13" t="inlineStr">
        <is>
          <t>S3</t>
        </is>
      </c>
      <c r="G1" s="13" t="inlineStr">
        <is>
          <t>S4</t>
        </is>
      </c>
      <c r="H1" s="13" t="inlineStr">
        <is>
          <t>S5</t>
        </is>
      </c>
      <c r="I1" s="13" t="inlineStr">
        <is>
          <t>S6</t>
        </is>
      </c>
      <c r="J1" s="13" t="inlineStr">
        <is>
          <t>S7</t>
        </is>
      </c>
      <c r="K1" s="13" t="inlineStr">
        <is>
          <t>S8</t>
        </is>
      </c>
      <c r="L1" s="13" t="inlineStr">
        <is>
          <t>S9</t>
        </is>
      </c>
      <c r="M1" s="13" t="inlineStr">
        <is>
          <t>S10</t>
        </is>
      </c>
      <c r="N1" s="13" t="inlineStr">
        <is>
          <t>S11</t>
        </is>
      </c>
      <c r="O1" s="13" t="inlineStr">
        <is>
          <t>S12</t>
        </is>
      </c>
      <c r="P1" s="13" t="inlineStr">
        <is>
          <t>S13</t>
        </is>
      </c>
      <c r="Q1" s="13" t="inlineStr">
        <is>
          <t>S14</t>
        </is>
      </c>
      <c r="R1" s="13" t="inlineStr">
        <is>
          <t>S15</t>
        </is>
      </c>
      <c r="S1" s="13" t="inlineStr">
        <is>
          <t>S16</t>
        </is>
      </c>
    </row>
    <row r="2">
      <c r="A2" s="14" t="inlineStr">
        <is>
          <t>R01</t>
        </is>
      </c>
      <c r="B2" s="14" t="inlineStr">
        <is>
          <t>Execute a comprehensive mapping of existing patient journeys throughout the network of 4 hospitals and 12 outpatient clinics.</t>
        </is>
      </c>
      <c r="C2" s="15" t="inlineStr">
        <is>
          <t>Covered</t>
        </is>
      </c>
      <c r="D2" s="18" t="inlineStr"/>
      <c r="E2" s="18" t="inlineStr"/>
      <c r="F2" s="18" t="inlineStr"/>
      <c r="G2" s="18" t="inlineStr"/>
      <c r="H2" s="19" t="inlineStr">
        <is>
          <t>C</t>
        </is>
      </c>
      <c r="I2" s="18" t="inlineStr"/>
      <c r="J2" s="18" t="inlineStr"/>
      <c r="K2" s="18" t="inlineStr"/>
      <c r="L2" s="18" t="inlineStr"/>
      <c r="M2" s="18" t="inlineStr"/>
      <c r="N2" s="18" t="inlineStr"/>
      <c r="O2" s="18" t="inlineStr"/>
      <c r="P2" s="18" t="inlineStr"/>
      <c r="Q2" s="18" t="inlineStr"/>
      <c r="R2" s="18" t="inlineStr"/>
      <c r="S2" s="18" t="inlineStr"/>
    </row>
    <row r="3">
      <c r="A3" s="14" t="inlineStr">
        <is>
          <t>R02</t>
        </is>
      </c>
      <c r="B3" s="14" t="inlineStr">
        <is>
          <t>Perform a rigorous analysis of waiting-time data covering the previous 24 months for emergency departments and outpatient services.</t>
        </is>
      </c>
      <c r="C3" s="16" t="inlineStr">
        <is>
          <t>Partially covered</t>
        </is>
      </c>
      <c r="D3" s="18" t="inlineStr"/>
      <c r="E3" s="18" t="inlineStr"/>
      <c r="F3" s="18" t="inlineStr"/>
      <c r="G3" s="18" t="inlineStr"/>
      <c r="H3" s="18" t="inlineStr"/>
      <c r="I3" s="20" t="inlineStr">
        <is>
          <t>P</t>
        </is>
      </c>
      <c r="J3" s="18" t="inlineStr"/>
      <c r="K3" s="18" t="inlineStr"/>
      <c r="L3" s="18" t="inlineStr"/>
      <c r="M3" s="18" t="inlineStr"/>
      <c r="N3" s="18" t="inlineStr"/>
      <c r="O3" s="18" t="inlineStr"/>
      <c r="P3" s="18" t="inlineStr"/>
      <c r="Q3" s="18" t="inlineStr"/>
      <c r="R3" s="18" t="inlineStr"/>
      <c r="S3" s="18" t="inlineStr"/>
    </row>
    <row r="4">
      <c r="A4" s="14" t="inlineStr">
        <is>
          <t>R03</t>
        </is>
      </c>
      <c r="B4" s="14" t="inlineStr">
        <is>
          <t>Conduct no fewer than 60 in-depth interviews with patients and clinical staff members.</t>
        </is>
      </c>
      <c r="C4" s="15" t="inlineStr">
        <is>
          <t>Covered</t>
        </is>
      </c>
      <c r="D4" s="18" t="inlineStr"/>
      <c r="E4" s="18" t="inlineStr"/>
      <c r="F4" s="18" t="inlineStr"/>
      <c r="G4" s="18" t="inlineStr"/>
      <c r="H4" s="19" t="inlineStr">
        <is>
          <t>C</t>
        </is>
      </c>
      <c r="I4" s="18" t="inlineStr"/>
      <c r="J4" s="18" t="inlineStr"/>
      <c r="K4" s="18" t="inlineStr"/>
      <c r="L4" s="18" t="inlineStr"/>
      <c r="M4" s="18" t="inlineStr"/>
      <c r="N4" s="18" t="inlineStr"/>
      <c r="O4" s="18" t="inlineStr"/>
      <c r="P4" s="18" t="inlineStr"/>
      <c r="Q4" s="18" t="inlineStr"/>
      <c r="R4" s="18" t="inlineStr"/>
      <c r="S4" s="18" t="inlineStr"/>
    </row>
    <row r="5">
      <c r="A5" s="14" t="inlineStr">
        <is>
          <t>R04</t>
        </is>
      </c>
      <c r="B5" s="14" t="inlineStr">
        <is>
          <t>Conduct a thorough audit to assess patient data handling adherence to national health data protection regulations.</t>
        </is>
      </c>
      <c r="C5" s="17" t="inlineStr">
        <is>
          <t>Not covered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8" t="inlineStr"/>
      <c r="S5" s="18" t="inlineStr"/>
    </row>
    <row r="6">
      <c r="A6" s="14" t="inlineStr">
        <is>
          <t>R05</t>
        </is>
      </c>
      <c r="B6" s="14" t="inlineStr">
        <is>
          <t>Benchmark network operational performance against a minimum of five peer-level international hospital groups.</t>
        </is>
      </c>
      <c r="C6" s="17" t="inlineStr">
        <is>
          <t>Not covered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</row>
    <row r="7">
      <c r="A7" s="14" t="inlineStr">
        <is>
          <t>R06</t>
        </is>
      </c>
      <c r="B7" s="14" t="inlineStr">
        <is>
          <t>Recommend a digital front-door strategy including online appointment booking, a symptom-triage chatbot, and a branded patient mobile app.</t>
        </is>
      </c>
      <c r="C7" s="16" t="inlineStr">
        <is>
          <t>Partially covered</t>
        </is>
      </c>
      <c r="D7" s="18" t="inlineStr"/>
      <c r="E7" s="18" t="inlineStr"/>
      <c r="F7" s="18" t="inlineStr"/>
      <c r="G7" s="18" t="inlineStr"/>
      <c r="H7" s="18" t="inlineStr"/>
      <c r="I7" s="18" t="inlineStr"/>
      <c r="J7" s="20" t="inlineStr">
        <is>
          <t>P</t>
        </is>
      </c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</row>
    <row r="8">
      <c r="A8" s="14" t="inlineStr">
        <is>
          <t>R07</t>
        </is>
      </c>
      <c r="B8" s="14" t="inlineStr">
        <is>
          <t>Develop a workforce scheduling optimization model tailored for doctors and nurses.</t>
        </is>
      </c>
      <c r="C8" s="16" t="inlineStr">
        <is>
          <t>Partially covered</t>
        </is>
      </c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20" t="inlineStr">
        <is>
          <t>P</t>
        </is>
      </c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</row>
    <row r="9">
      <c r="A9" s="14" t="inlineStr">
        <is>
          <t>R08</t>
        </is>
      </c>
      <c r="B9" s="14" t="inlineStr">
        <is>
          <t>Design a formal program governance model with a dedicated steering board and monthly KPI reviews.</t>
        </is>
      </c>
      <c r="C9" s="15" t="inlineStr">
        <is>
          <t>Covered</t>
        </is>
      </c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9" t="inlineStr">
        <is>
          <t>C</t>
        </is>
      </c>
      <c r="M9" s="18" t="inlineStr"/>
      <c r="N9" s="18" t="inlineStr"/>
      <c r="O9" s="18" t="inlineStr"/>
      <c r="P9" s="18" t="inlineStr"/>
      <c r="Q9" s="18" t="inlineStr"/>
      <c r="R9" s="18" t="inlineStr"/>
      <c r="S9" s="18" t="inlineStr"/>
    </row>
    <row r="10">
      <c r="A10" s="14" t="inlineStr">
        <is>
          <t>R09</t>
        </is>
      </c>
      <c r="B10" s="14" t="inlineStr">
        <is>
          <t>Provide a detailed change management and training plan directed at all frontline staff members.</t>
        </is>
      </c>
      <c r="C10" s="16" t="inlineStr">
        <is>
          <t>Partially covered</t>
        </is>
      </c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20" t="inlineStr">
        <is>
          <t>P</t>
        </is>
      </c>
      <c r="N10" s="18" t="inlineStr"/>
      <c r="O10" s="18" t="inlineStr"/>
      <c r="P10" s="18" t="inlineStr"/>
      <c r="Q10" s="18" t="inlineStr"/>
      <c r="R10" s="18" t="inlineStr"/>
      <c r="S10" s="18" t="inlineStr"/>
    </row>
    <row r="11">
      <c r="A11" s="14" t="inlineStr">
        <is>
          <t>R10</t>
        </is>
      </c>
      <c r="B11" s="14" t="inlineStr">
        <is>
          <t>Deliver a baseline diagnostic report covering current patient experience and operations.</t>
        </is>
      </c>
      <c r="C11" s="15" t="inlineStr">
        <is>
          <t>Covered</t>
        </is>
      </c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9" t="inlineStr">
        <is>
          <t>C</t>
        </is>
      </c>
      <c r="O11" s="18" t="inlineStr"/>
      <c r="P11" s="18" t="inlineStr"/>
      <c r="Q11" s="18" t="inlineStr"/>
      <c r="R11" s="18" t="inlineStr"/>
      <c r="S11" s="18" t="inlineStr"/>
    </row>
    <row r="12">
      <c r="A12" s="14" t="inlineStr">
        <is>
          <t>R11</t>
        </is>
      </c>
      <c r="B12" s="14" t="inlineStr">
        <is>
          <t>Deliver a prioritised initiative roadmap including a cost-benefit estimate for every proposed initiative.</t>
        </is>
      </c>
      <c r="C12" s="16" t="inlineStr">
        <is>
          <t>Partially covered</t>
        </is>
      </c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20" t="inlineStr">
        <is>
          <t>P</t>
        </is>
      </c>
      <c r="O12" s="18" t="inlineStr"/>
      <c r="P12" s="18" t="inlineStr"/>
      <c r="Q12" s="18" t="inlineStr"/>
      <c r="R12" s="18" t="inlineStr"/>
      <c r="S12" s="18" t="inlineStr"/>
    </row>
    <row r="13">
      <c r="A13" s="14" t="inlineStr">
        <is>
          <t>R12</t>
        </is>
      </c>
      <c r="B13" s="14" t="inlineStr">
        <is>
          <t>Deliver an interactive dashboard visualizing patient-experience KPIs and hand it over to the internal IT team.</t>
        </is>
      </c>
      <c r="C13" s="15" t="inlineStr">
        <is>
          <t>Covered</t>
        </is>
      </c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9" t="inlineStr">
        <is>
          <t>C</t>
        </is>
      </c>
      <c r="O13" s="18" t="inlineStr"/>
      <c r="P13" s="18" t="inlineStr"/>
      <c r="Q13" s="18" t="inlineStr"/>
      <c r="R13" s="18" t="inlineStr"/>
      <c r="S13" s="18" t="inlineStr"/>
    </row>
    <row r="14">
      <c r="A14" s="14" t="inlineStr">
        <is>
          <t>R13</t>
        </is>
      </c>
      <c r="B14" s="14" t="inlineStr">
        <is>
          <t>Provide the final report in both English and Arabic.</t>
        </is>
      </c>
      <c r="C14" s="16" t="inlineStr">
        <is>
          <t>Partially covered</t>
        </is>
      </c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20" t="inlineStr">
        <is>
          <t>P</t>
        </is>
      </c>
      <c r="Q14" s="18" t="inlineStr"/>
      <c r="R14" s="18" t="inlineStr"/>
      <c r="S14" s="18" t="inlineStr"/>
    </row>
    <row r="15">
      <c r="A15" s="14" t="inlineStr">
        <is>
          <t>R14</t>
        </is>
      </c>
      <c r="B15" s="14" t="inlineStr">
        <is>
          <t>Provide weekly written progress updates to the project sponsor.</t>
        </is>
      </c>
      <c r="C15" s="15" t="inlineStr">
        <is>
          <t>Covered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inlineStr"/>
      <c r="O15" s="19" t="inlineStr">
        <is>
          <t>C</t>
        </is>
      </c>
      <c r="P15" s="18" t="inlineStr"/>
      <c r="Q15" s="18" t="inlineStr"/>
      <c r="R15" s="18" t="inlineStr"/>
      <c r="S15" s="18" t="inlineStr"/>
    </row>
    <row r="16">
      <c r="A16" s="14" t="inlineStr">
        <is>
          <t>R15</t>
        </is>
      </c>
      <c r="B16" s="14" t="inlineStr">
        <is>
          <t>Complete the engagement within a maximum timeframe of 20 weeks.</t>
        </is>
      </c>
      <c r="C16" s="15" t="inlineStr">
        <is>
          <t>Covered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9" t="inlineStr">
        <is>
          <t>C</t>
        </is>
      </c>
      <c r="P16" s="18" t="inlineStr"/>
      <c r="Q16" s="18" t="inlineStr"/>
      <c r="R16" s="18" t="inlineStr"/>
      <c r="S16" s="18" t="inlineStr"/>
    </row>
    <row r="17">
      <c r="A17" s="14" t="inlineStr">
        <is>
          <t>R16</t>
        </is>
      </c>
      <c r="B17" s="14" t="inlineStr">
        <is>
          <t>Begin on-site work within 10 working days following the contract award.</t>
        </is>
      </c>
      <c r="C17" s="17" t="inlineStr">
        <is>
          <t>Not covered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</row>
    <row r="18">
      <c r="A18" s="14" t="inlineStr">
        <is>
          <t>R17</t>
        </is>
      </c>
      <c r="B18" s="14" t="inlineStr">
        <is>
          <t>Present interim findings no later than week 10 of the project.</t>
        </is>
      </c>
      <c r="C18" s="15" t="inlineStr">
        <is>
          <t>Covered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9" t="inlineStr">
        <is>
          <t>C</t>
        </is>
      </c>
      <c r="P18" s="18" t="inlineStr"/>
      <c r="Q18" s="18" t="inlineStr"/>
      <c r="R18" s="18" t="inlineStr"/>
      <c r="S18" s="18" t="inlineStr"/>
    </row>
    <row r="19">
      <c r="A19" s="14" t="inlineStr">
        <is>
          <t>R18</t>
        </is>
      </c>
      <c r="B19" s="14" t="inlineStr">
        <is>
          <t>Provide a minimum of three references from healthcare clients located within the GCC region.</t>
        </is>
      </c>
      <c r="C19" s="17" t="inlineStr">
        <is>
          <t>Not covered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</row>
    <row r="20">
      <c r="A20" s="14" t="inlineStr">
        <is>
          <t>R19</t>
        </is>
      </c>
      <c r="B20" s="14" t="inlineStr">
        <is>
          <t>Structure the pricing model as a fixed fee with an option for milestone-based payments.</t>
        </is>
      </c>
      <c r="C20" s="15" t="inlineStr">
        <is>
          <t>Covered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9" t="inlineStr">
        <is>
          <t>C</t>
        </is>
      </c>
      <c r="R20" s="18" t="inlineStr"/>
      <c r="S20" s="18" t="inlineStr"/>
    </row>
    <row r="21">
      <c r="A21" s="14" t="inlineStr">
        <is>
          <t>R20</t>
        </is>
      </c>
      <c r="B21" s="14" t="inlineStr">
        <is>
          <t>Name a dedicated clinical advisor with at least 10 years of professional hospital experience.</t>
        </is>
      </c>
      <c r="C21" s="16" t="inlineStr">
        <is>
          <t>Partially covered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8" t="inlineStr"/>
      <c r="L21" s="18" t="inlineStr"/>
      <c r="M21" s="18" t="inlineStr"/>
      <c r="N21" s="18" t="inlineStr"/>
      <c r="O21" s="18" t="inlineStr"/>
      <c r="P21" s="20" t="inlineStr">
        <is>
          <t>P</t>
        </is>
      </c>
      <c r="Q21" s="18" t="inlineStr"/>
      <c r="R21" s="18" t="inlineStr"/>
      <c r="S21" s="18" t="inlineStr"/>
    </row>
  </sheetData>
  <autoFilter ref="A1:S2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2026-10-06T15:34:50Z</dcterms:created>
  <dcterms:modified xmlns:dcterms="http://purl.org/dc/terms/" xmlns:xsi="http://www.w3.org/2001/XMLSchema-instance" xsi:type="dcterms:W3CDTF">2026-10-06T15:34:50Z</dcterms:modified>
</cp:coreProperties>
</file>